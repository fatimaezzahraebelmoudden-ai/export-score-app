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etBnicolage\Downloads\"/>
    </mc:Choice>
  </mc:AlternateContent>
  <bookViews>
    <workbookView xWindow="4020" yWindow="0" windowWidth="15780" windowHeight="8280"/>
  </bookViews>
  <sheets>
    <sheet name="Feuil1" sheetId="1" r:id="rId1"/>
    <sheet name="Feuil2" sheetId="2" r:id="rId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1" i="1" l="1"/>
  <c r="F11" i="2" l="1"/>
  <c r="F10" i="2"/>
  <c r="F9" i="2"/>
  <c r="E11" i="2"/>
  <c r="E10" i="2"/>
  <c r="E9" i="2"/>
  <c r="D11" i="2"/>
  <c r="D10" i="2"/>
  <c r="D9" i="2"/>
  <c r="F43" i="1"/>
  <c r="C11" i="2"/>
  <c r="C10" i="2"/>
  <c r="C9" i="2"/>
  <c r="B9" i="2"/>
  <c r="B11" i="2"/>
  <c r="B10" i="2"/>
</calcChain>
</file>

<file path=xl/sharedStrings.xml><?xml version="1.0" encoding="utf-8"?>
<sst xmlns="http://schemas.openxmlformats.org/spreadsheetml/2006/main" count="85" uniqueCount="83">
  <si>
    <t>Produit</t>
  </si>
  <si>
    <t>CODE SH</t>
  </si>
  <si>
    <t>Bitume de pétrole</t>
  </si>
  <si>
    <t>Résidus des huiles de pétrole ou de minéraux bitumineux (à l'excl. du coke de pétrole et du bitume de pétrole)</t>
  </si>
  <si>
    <t>Plomb affiné, sous forme brute</t>
  </si>
  <si>
    <t>Vêtements et accessoires du vêtement, en pelleteries (à l'excl. des chaussures, des coiffures, des parties de chaussures ou de coiffures ainsi que des gants comportant à la fois des pelleteries et du cuir)</t>
  </si>
  <si>
    <t>Bateaux à moteur hors-bord, de plaisance ou de sport, et bateaux à rames et canoës, d’une longueur &gt; 7,5 m, autres que gonflables</t>
  </si>
  <si>
    <t>Bateaux, de plaisance ou de sport, à moteur (autres qu'à moteur hors-bord)</t>
  </si>
  <si>
    <t>Laine peignée (à l'excl. de la laine peignée en vrac)</t>
  </si>
  <si>
    <t>Farines de froment [blé] ou de méteil</t>
  </si>
  <si>
    <t>Cuirs préparés après tannage ou après dessèchement et cuirs et peaux parcheminés, d'antilopes, de chevreuils, d'élans, d'éléphants et d'autres animaux, y.c. les animaux aquatiques, épilés, et peaux d'animaux dépourvus de poils, même refendus (à l'excl. des cuirs et peaux de bovins, d'équidés, d'ovins, de caprins, de porcins ou de reptiles ainsi que des cuirs et peaux chamoisés, vernis, plaqués ou métallisés)</t>
  </si>
  <si>
    <t>Produits consistant en composants naturels du lait, même additionnés de sucre ou d'autres édulcorants, n.d.a.</t>
  </si>
  <si>
    <t>Glucose, à l'état solide, et sirop de glucose, sans addition d'aromatisants ou de colorants, ne contenant pas de fructose ou contenant en poids à l'état sec &lt; 20% de fructose</t>
  </si>
  <si>
    <t>Silicones sous formes primaires</t>
  </si>
  <si>
    <t>Échangeurs d'ions à base de polymères des n° 3901 à 3913, sous formes primaires</t>
  </si>
  <si>
    <t>Noix de cajou, fraîches ou sèches, en coques</t>
  </si>
  <si>
    <t>Cidre, poiré, hydromel, saké et autres boissons fermentées; mélanges de boissons fermentées et mélanges de boissons fermentées et de boissons non-alcooliques, n.d.a. (à l'excl. de la bière, des vins de raisins frais, des moûts de raisins ainsi que des vermouths et autres vins de raisins frais préparés à l'aide de plantes ou de substances aromatiques)</t>
  </si>
  <si>
    <t>Vermouths et autres vins de raisins frais préparés à l'aide de plantes ou de substances aromatiques, en récipients d'une contenance &lt;= 2 l</t>
  </si>
  <si>
    <t>Maïs (à l'excl. du maïs de semence)</t>
  </si>
  <si>
    <t>Blé et méteil
 (à l'excl. du froment [blé] dur et des semences)</t>
  </si>
  <si>
    <t>Café, non torréfié, non décaféiné</t>
  </si>
  <si>
    <t>Moteurs à 
piston alternatif à allumage par étincelles (moteurs à explosion), des types utilisés . . .</t>
  </si>
  <si>
    <t xml:space="preserve">  Fils de cuivre affiné, plus grande dimension de la section transversale &gt; 6 mm</t>
  </si>
  <si>
    <t xml:space="preserve"> Médicaments constitués par des produits mélangés ou non, préparés à des fins thérapeutiques . . .</t>
  </si>
  <si>
    <t>Sucre de canne brut, 
sans addition d’aromatisants ou de colorants, à l’état solide (à l’excl. . . .</t>
  </si>
  <si>
    <t>Demi-produits en fer ou en aciers non alliés, contenant en poids &lt; 0,25% de carbone, de section . . .</t>
  </si>
  <si>
    <t>Tourteaux et autres résidus solides, 
même broyés ou agglomérés sous forme de pellets, de l'extraction . . .</t>
  </si>
  <si>
    <t>Câbles coaxiaux et autres 
conducteurs électriques coaxiaux, isolés</t>
  </si>
  <si>
    <t>Huiles de tournesol ou de carthame 
et leurs fractions, même raffinées, mais non chimiquement . . .</t>
  </si>
  <si>
    <t>Tourteaux et autres résidus 
solides, même broyés ou agglomérés sous forme de pellets, de l'extraction . . .</t>
  </si>
  <si>
    <t xml:space="preserve"> Graisses et huiles
 végétales et leurs fractions, partiellement ou totalement hydrogénées, interestérifiées, . . .</t>
  </si>
  <si>
    <t xml:space="preserve"> Tricycles, trottinettes, autos à 
pédales et jouets à roues similaires; landaus et poussettes . . .</t>
  </si>
  <si>
    <t xml:space="preserve"> Aliments pour chiens ou chats,
 conditionnés pour la vente au détail</t>
  </si>
  <si>
    <t>Houilles, même pulvérisées,
 mais non agglomérées (à l'excl. de l'anthracite et de la houille . . .</t>
  </si>
  <si>
    <t>Tissus de coton,
 teints, contenant &gt;= 85% en poids de coton, d'un poids &gt; 200 g/m² (à l'excl. . . .</t>
  </si>
  <si>
    <t xml:space="preserve"> Articles de friperie composés de
 vêtements, accessoires du vêtement, couvertures, linge de . . .</t>
  </si>
  <si>
    <t xml:space="preserve"> Tourteaux et autres résidus solides,
 même broyés ou agglomérés sous forme de pellets, de l'extraction . . .</t>
  </si>
  <si>
    <t xml:space="preserve"> Produits de beauté ou de
 maquillage préparés et préparations pour l'entretien ou les soins . . .</t>
  </si>
  <si>
    <t xml:space="preserve"> Instruments et appareils pour 
la régulation ou le contrôle automatiques (à l'excl. des instruments . . .</t>
  </si>
  <si>
    <t>Instruments et appareils pour la 
médecine, la chirurgie ou l'art vétérinaire, n.d.a.</t>
  </si>
  <si>
    <t>040490</t>
  </si>
  <si>
    <t>411390</t>
  </si>
  <si>
    <t xml:space="preserve"> Tomates, à l'état frais ou réfrigéré</t>
  </si>
  <si>
    <t>720711</t>
  </si>
  <si>
    <t>70200</t>
  </si>
  <si>
    <t>90111</t>
  </si>
  <si>
    <t>80131</t>
  </si>
  <si>
    <t>Sables siliceux et sables quartzeux, même colorés</t>
  </si>
  <si>
    <t>250510</t>
  </si>
  <si>
    <t>maroc 2014</t>
  </si>
  <si>
    <t>maroc 2010</t>
  </si>
  <si>
    <t>monde 2014 exp</t>
  </si>
  <si>
    <t>monde 2010 exp</t>
  </si>
  <si>
    <t>monde 2014 imp</t>
  </si>
  <si>
    <t>monde 2010 imp</t>
  </si>
  <si>
    <t>acr</t>
  </si>
  <si>
    <t>taux monde imp</t>
  </si>
  <si>
    <t>TOTAL MAROC
 en 2014</t>
  </si>
  <si>
    <t>TOTAL MONDE 
en 2014</t>
  </si>
  <si>
    <t>taux maroc exp</t>
  </si>
  <si>
    <t>Insuline et ses sels, utilisés principalement comme hormones</t>
  </si>
  <si>
    <t>293712</t>
  </si>
  <si>
    <t>Antisérums, autres fractions du sang et produits immunologiques, même modifiés ou obtenus par voie biotechnologique</t>
  </si>
  <si>
    <t>Instruments à clavier électriques (sauf accordéons)</t>
  </si>
  <si>
    <t>920710</t>
  </si>
  <si>
    <t>Bombes, grenades, torpilles, mines, missiles et autres munitions et projectiles (à l'excl. des cartouches), et leurs parties, n.d.a.</t>
  </si>
  <si>
    <t>930690</t>
  </si>
  <si>
    <t>100390</t>
  </si>
  <si>
    <t>Orge (à l’excl. de l’orge de semence)</t>
  </si>
  <si>
    <t>110100</t>
  </si>
  <si>
    <t>Viandes et abats comestibles, salés ou en saumure, séchés ou fumés et farines et poudres comestibles . . .</t>
  </si>
  <si>
    <t xml:space="preserve">021019
</t>
  </si>
  <si>
    <t>40510</t>
  </si>
  <si>
    <t>Beurre (sauf beurre déshydraté et ghee)</t>
  </si>
  <si>
    <t xml:space="preserve"> Matières grasses provenant du lait ainsi que beurre déshydraté et ghee (à l'excl. du beurre . . .</t>
  </si>
  <si>
    <t>040590</t>
  </si>
  <si>
    <t>ACR</t>
  </si>
  <si>
    <t>PCI</t>
  </si>
  <si>
    <t>Croissance Maroc (% p.a.)</t>
  </si>
  <si>
    <t>Taille Marche (millier USD)</t>
  </si>
  <si>
    <t>Succes</t>
  </si>
  <si>
    <t>Croissance Monde (% p.a.)</t>
  </si>
  <si>
    <t>Alignement stratégique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</si>
</sst>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8"/>
      <color theme="1"/>
      <name val="Calibri"/>
      <family val="2"/>
      <scheme val="minor"/>
    </font>
    <font>
      <sz val="7"/>
      <color rgb="FF002B54"/>
      <name val="Arial"/>
      <family val="2"/>
    </font>
    <font>
      <sz val="7"/>
      <color rgb="FF8A2BE2"/>
      <name val="Arial"/>
      <family val="2"/>
    </font>
  </fonts>
  <fills count="4">
    <fill>
      <patternFill patternType="none"/>
    </fill>
    <fill>
      <patternFill patternType="gray125"/>
    </fill>
    <fill>
      <patternFill patternType="solid">
        <fgColor theme="4" tint="0.59999389629810485"/>
        <bgColor indexed="64"/>
      </patternFill>
    </fill>
    <fill>
      <patternFill patternType="solid">
        <fgColor rgb="FFF7F6F3"/>
        <bgColor indexed="64"/>
      </patternFill>
    </fill>
  </fills>
  <borders count="3">
    <border>
      <left/>
      <right/>
      <top/>
      <bottom/>
      <diagonal/>
    </border>
    <border>
      <left style="thin">
        <color rgb="FF002B54"/>
      </left>
      <right style="thin">
        <color rgb="FF002B54"/>
      </right>
      <top style="thin">
        <color rgb="FF002B54"/>
      </top>
      <bottom style="thin">
        <color rgb="FF002B54"/>
      </bottom>
      <diagonal/>
    </border>
    <border>
      <left style="thin">
        <color rgb="FF002B54"/>
      </left>
      <right style="medium">
        <color rgb="FF002B54"/>
      </right>
      <top style="thin">
        <color rgb="FF002B54"/>
      </top>
      <bottom style="thin">
        <color rgb="FF002B5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49" fontId="1" fillId="2" borderId="0" xfId="0" applyNumberFormat="1" applyFont="1" applyFill="1" applyAlignment="1">
      <alignment horizontal="center" vertical="center"/>
    </xf>
    <xf numFmtId="2" fontId="1"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49" fontId="1" fillId="2" borderId="0" xfId="0" applyNumberFormat="1" applyFont="1" applyFill="1" applyAlignment="1">
      <alignment horizontal="center" vertical="center" wrapText="1"/>
    </xf>
    <xf numFmtId="0" fontId="0" fillId="0" borderId="0" xfId="0" applyAlignment="1">
      <alignment vertical="center"/>
    </xf>
    <xf numFmtId="0" fontId="1" fillId="0" borderId="0" xfId="0" applyFont="1"/>
    <xf numFmtId="3" fontId="0" fillId="0" borderId="0" xfId="0" applyNumberFormat="1"/>
    <xf numFmtId="49" fontId="0" fillId="0" borderId="0" xfId="0" applyNumberFormat="1" applyAlignment="1">
      <alignment horizontal="center"/>
    </xf>
    <xf numFmtId="49" fontId="1" fillId="0" borderId="0" xfId="0" applyNumberFormat="1" applyFont="1" applyAlignment="1">
      <alignment horizontal="center"/>
    </xf>
    <xf numFmtId="0" fontId="2" fillId="0" borderId="0" xfId="0" applyFont="1"/>
    <xf numFmtId="0" fontId="3" fillId="0" borderId="0" xfId="0" applyFont="1"/>
    <xf numFmtId="0" fontId="0" fillId="0" borderId="0" xfId="0" applyAlignment="1">
      <alignment wrapText="1"/>
    </xf>
    <xf numFmtId="2" fontId="2" fillId="0" borderId="0" xfId="0" applyNumberFormat="1" applyFont="1"/>
    <xf numFmtId="2" fontId="3" fillId="0" borderId="0" xfId="0" applyNumberFormat="1" applyFont="1"/>
    <xf numFmtId="0" fontId="3" fillId="3" borderId="1" xfId="0" applyFont="1" applyFill="1" applyBorder="1" applyAlignment="1">
      <alignment horizontal="right" vertical="center" wrapText="1"/>
    </xf>
    <xf numFmtId="0" fontId="3" fillId="3" borderId="2" xfId="0" applyFont="1" applyFill="1" applyBorder="1" applyAlignment="1">
      <alignment horizontal="right" vertical="center" wrapText="1"/>
    </xf>
    <xf numFmtId="49" fontId="0" fillId="0" borderId="0" xfId="0" applyNumberForma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tabSelected="1" zoomScale="88" zoomScaleNormal="88" workbookViewId="0">
      <selection activeCell="H1" sqref="H1"/>
    </sheetView>
  </sheetViews>
  <sheetFormatPr baseColWidth="10" defaultColWidth="8.85546875" defaultRowHeight="15" x14ac:dyDescent="0.25"/>
  <cols>
    <col min="1" max="1" width="8.85546875" customWidth="1"/>
    <col min="2" max="2" width="8.85546875" style="9" customWidth="1"/>
    <col min="5" max="6" width="14.28515625" bestFit="1" customWidth="1"/>
  </cols>
  <sheetData>
    <row r="1" spans="1:9" ht="45" x14ac:dyDescent="0.25">
      <c r="A1" s="1" t="s">
        <v>0</v>
      </c>
      <c r="B1" s="2" t="s">
        <v>1</v>
      </c>
      <c r="C1" s="3" t="s">
        <v>78</v>
      </c>
      <c r="D1" s="1" t="s">
        <v>76</v>
      </c>
      <c r="E1" s="4" t="s">
        <v>77</v>
      </c>
      <c r="F1" s="4" t="s">
        <v>81</v>
      </c>
      <c r="G1" s="3" t="s">
        <v>79</v>
      </c>
      <c r="H1" s="4" t="s">
        <v>82</v>
      </c>
      <c r="I1" s="5" t="s">
        <v>80</v>
      </c>
    </row>
    <row r="2" spans="1:9" x14ac:dyDescent="0.25">
      <c r="A2" t="s">
        <v>2</v>
      </c>
      <c r="B2" s="9">
        <v>271320</v>
      </c>
      <c r="C2">
        <v>33.4</v>
      </c>
      <c r="D2">
        <v>2.235083358219617</v>
      </c>
      <c r="E2">
        <v>-0.25247008669999998</v>
      </c>
      <c r="F2">
        <v>0.1103640908772781</v>
      </c>
      <c r="G2">
        <v>36338</v>
      </c>
      <c r="H2">
        <v>0</v>
      </c>
      <c r="I2">
        <v>0</v>
      </c>
    </row>
    <row r="3" spans="1:9" x14ac:dyDescent="0.25">
      <c r="A3" t="s">
        <v>3</v>
      </c>
      <c r="B3" s="9">
        <v>271390</v>
      </c>
      <c r="C3">
        <v>41.93</v>
      </c>
      <c r="D3">
        <v>0.27452159329152709</v>
      </c>
      <c r="E3">
        <v>-0.98525368950000003</v>
      </c>
      <c r="F3">
        <v>6.6061090199740491E-2</v>
      </c>
      <c r="G3">
        <v>1035</v>
      </c>
      <c r="H3">
        <v>0</v>
      </c>
      <c r="I3">
        <v>0</v>
      </c>
    </row>
    <row r="4" spans="1:9" x14ac:dyDescent="0.25">
      <c r="A4" t="s">
        <v>4</v>
      </c>
      <c r="B4" s="9">
        <v>780110</v>
      </c>
      <c r="C4">
        <v>-41.31</v>
      </c>
      <c r="D4">
        <v>1.876337652278395</v>
      </c>
      <c r="E4">
        <v>-1.0776445754999999</v>
      </c>
      <c r="F4">
        <v>6.6448029943796172E-2</v>
      </c>
      <c r="G4">
        <v>10378</v>
      </c>
      <c r="H4">
        <v>0</v>
      </c>
      <c r="I4">
        <v>0</v>
      </c>
    </row>
    <row r="5" spans="1:9" x14ac:dyDescent="0.25">
      <c r="A5" t="s">
        <v>5</v>
      </c>
      <c r="B5" s="9">
        <v>430310</v>
      </c>
      <c r="C5">
        <v>-0.63110602676655947</v>
      </c>
      <c r="D5">
        <v>5.2299368580360794E-4</v>
      </c>
      <c r="E5">
        <v>-0.31979749140000002</v>
      </c>
      <c r="F5">
        <v>3.105039856543779E-2</v>
      </c>
      <c r="G5">
        <v>3</v>
      </c>
      <c r="H5">
        <v>1</v>
      </c>
      <c r="I5">
        <v>0</v>
      </c>
    </row>
    <row r="6" spans="1:9" x14ac:dyDescent="0.25">
      <c r="A6" t="s">
        <v>6</v>
      </c>
      <c r="B6" s="9">
        <v>890399</v>
      </c>
      <c r="C6">
        <v>-0.24895001842902209</v>
      </c>
      <c r="D6">
        <v>7.0201404750924509E-3</v>
      </c>
      <c r="E6">
        <v>0.2229092245</v>
      </c>
      <c r="F6">
        <v>3.1518405832641427E-2</v>
      </c>
      <c r="G6">
        <v>21</v>
      </c>
      <c r="H6">
        <v>0</v>
      </c>
      <c r="I6">
        <v>0</v>
      </c>
    </row>
    <row r="7" spans="1:9" x14ac:dyDescent="0.25">
      <c r="A7" t="s">
        <v>7</v>
      </c>
      <c r="B7" s="9">
        <v>890392</v>
      </c>
      <c r="C7">
        <v>-1</v>
      </c>
      <c r="D7">
        <v>0</v>
      </c>
      <c r="E7">
        <v>0.63069188249999997</v>
      </c>
      <c r="F7">
        <v>9.6725927497542941E-4</v>
      </c>
      <c r="G7">
        <v>0</v>
      </c>
      <c r="H7">
        <v>0</v>
      </c>
      <c r="I7">
        <v>0</v>
      </c>
    </row>
    <row r="8" spans="1:9" x14ac:dyDescent="0.25">
      <c r="A8" t="s">
        <v>8</v>
      </c>
      <c r="B8" s="9">
        <v>510529</v>
      </c>
      <c r="C8">
        <v>3.63467619823918</v>
      </c>
      <c r="D8">
        <v>1.2011703053242051</v>
      </c>
      <c r="E8">
        <v>-0.19361436279999999</v>
      </c>
      <c r="F8">
        <v>3.2541574571572918E-2</v>
      </c>
      <c r="G8">
        <v>2307</v>
      </c>
      <c r="H8">
        <v>0</v>
      </c>
      <c r="I8">
        <v>0</v>
      </c>
    </row>
    <row r="9" spans="1:9" x14ac:dyDescent="0.25">
      <c r="A9" t="s">
        <v>9</v>
      </c>
      <c r="B9" s="9">
        <v>110100</v>
      </c>
      <c r="C9">
        <v>0.20783423083183969</v>
      </c>
      <c r="D9">
        <v>10.473202506885579</v>
      </c>
      <c r="E9">
        <v>-1.4130282628999999</v>
      </c>
      <c r="F9">
        <v>4.8768801006152218E-2</v>
      </c>
      <c r="G9">
        <v>68154</v>
      </c>
      <c r="H9">
        <v>0</v>
      </c>
      <c r="I9">
        <v>0</v>
      </c>
    </row>
    <row r="10" spans="1:9" x14ac:dyDescent="0.25">
      <c r="A10" t="s">
        <v>10</v>
      </c>
      <c r="B10" s="9" t="s">
        <v>41</v>
      </c>
      <c r="C10">
        <v>4.973631452792926E-2</v>
      </c>
      <c r="D10">
        <v>0.26686343654288319</v>
      </c>
      <c r="E10">
        <v>-2.4283723073000001</v>
      </c>
      <c r="F10">
        <v>-3.1982080113889033E-2</v>
      </c>
      <c r="G10">
        <v>136</v>
      </c>
      <c r="H10">
        <v>1</v>
      </c>
      <c r="I10">
        <v>0</v>
      </c>
    </row>
    <row r="11" spans="1:9" x14ac:dyDescent="0.25">
      <c r="A11" t="s">
        <v>11</v>
      </c>
      <c r="B11" s="9" t="s">
        <v>40</v>
      </c>
      <c r="C11">
        <v>0.1586106161596641</v>
      </c>
      <c r="D11">
        <v>0.18139554626962251</v>
      </c>
      <c r="E11">
        <v>-1.65502675E-2</v>
      </c>
      <c r="F11">
        <v>0.1585234505634012</v>
      </c>
      <c r="G11">
        <v>364</v>
      </c>
      <c r="H11">
        <v>1</v>
      </c>
      <c r="I11">
        <v>0</v>
      </c>
    </row>
    <row r="12" spans="1:9" x14ac:dyDescent="0.25">
      <c r="A12" t="s">
        <v>12</v>
      </c>
      <c r="B12" s="9">
        <v>170230</v>
      </c>
      <c r="C12">
        <v>-1</v>
      </c>
      <c r="D12">
        <v>0</v>
      </c>
      <c r="E12">
        <v>0.27697481750000003</v>
      </c>
      <c r="F12">
        <v>5.8514187062868477E-2</v>
      </c>
      <c r="G12">
        <v>0</v>
      </c>
      <c r="H12">
        <v>0</v>
      </c>
      <c r="I12">
        <v>0</v>
      </c>
    </row>
    <row r="13" spans="1:9" x14ac:dyDescent="0.25">
      <c r="A13" t="s">
        <v>13</v>
      </c>
      <c r="B13" s="9">
        <v>391000</v>
      </c>
      <c r="C13">
        <v>-0.26649636207516297</v>
      </c>
      <c r="D13">
        <v>1.623964878250389E-3</v>
      </c>
      <c r="E13">
        <v>1.5078788772</v>
      </c>
      <c r="F13">
        <v>2.6139342285554919E-2</v>
      </c>
      <c r="G13">
        <v>11</v>
      </c>
      <c r="H13">
        <v>0</v>
      </c>
      <c r="I13">
        <v>0</v>
      </c>
    </row>
    <row r="14" spans="1:9" x14ac:dyDescent="0.25">
      <c r="A14" t="s">
        <v>14</v>
      </c>
      <c r="B14" s="9">
        <v>391400</v>
      </c>
      <c r="C14">
        <v>0</v>
      </c>
      <c r="D14">
        <v>0</v>
      </c>
      <c r="E14">
        <v>1.0568801442</v>
      </c>
      <c r="F14">
        <v>5.9336311609369252E-2</v>
      </c>
      <c r="G14">
        <v>0</v>
      </c>
      <c r="H14">
        <v>0</v>
      </c>
      <c r="I14">
        <v>0</v>
      </c>
    </row>
    <row r="15" spans="1:9" x14ac:dyDescent="0.25">
      <c r="A15" t="s">
        <v>15</v>
      </c>
      <c r="B15" s="9" t="s">
        <v>46</v>
      </c>
      <c r="C15">
        <v>0</v>
      </c>
      <c r="D15">
        <v>0</v>
      </c>
      <c r="E15">
        <v>-4.4426395132999996</v>
      </c>
      <c r="F15">
        <v>0.16858422397371231</v>
      </c>
      <c r="G15">
        <v>0</v>
      </c>
      <c r="H15">
        <v>0</v>
      </c>
      <c r="I15">
        <v>0</v>
      </c>
    </row>
    <row r="16" spans="1:9" x14ac:dyDescent="0.25">
      <c r="A16" t="s">
        <v>16</v>
      </c>
      <c r="B16" s="9">
        <v>220600</v>
      </c>
      <c r="C16">
        <v>0</v>
      </c>
      <c r="D16">
        <v>0</v>
      </c>
      <c r="E16">
        <v>0.46355390730000001</v>
      </c>
      <c r="F16">
        <v>0.11313438192545421</v>
      </c>
      <c r="G16">
        <v>0</v>
      </c>
      <c r="H16">
        <v>0</v>
      </c>
      <c r="I16">
        <v>0</v>
      </c>
    </row>
    <row r="17" spans="1:9" x14ac:dyDescent="0.25">
      <c r="A17" t="s">
        <v>17</v>
      </c>
      <c r="B17" s="9">
        <v>220510</v>
      </c>
      <c r="C17">
        <v>-1</v>
      </c>
      <c r="D17">
        <v>0</v>
      </c>
      <c r="E17">
        <v>-1.08458266E-2</v>
      </c>
      <c r="F17">
        <v>1.370486301230112E-2</v>
      </c>
      <c r="G17">
        <v>0</v>
      </c>
      <c r="H17">
        <v>0</v>
      </c>
      <c r="I17">
        <v>0</v>
      </c>
    </row>
    <row r="18" spans="1:9" x14ac:dyDescent="0.25">
      <c r="A18" t="s">
        <v>18</v>
      </c>
      <c r="B18" s="9">
        <v>100590</v>
      </c>
      <c r="C18">
        <v>-0.24337722218558611</v>
      </c>
      <c r="D18">
        <v>8.5754782458682503E-3</v>
      </c>
      <c r="E18">
        <v>-0.85263891420000004</v>
      </c>
      <c r="F18">
        <v>0.1066484022329639</v>
      </c>
      <c r="G18">
        <v>39</v>
      </c>
      <c r="H18">
        <v>0</v>
      </c>
      <c r="I18">
        <v>0</v>
      </c>
    </row>
    <row r="19" spans="1:9" x14ac:dyDescent="0.25">
      <c r="A19" t="s">
        <v>19</v>
      </c>
      <c r="B19" s="9">
        <v>100199</v>
      </c>
      <c r="C19">
        <v>-8.1999999999999993</v>
      </c>
      <c r="D19">
        <v>0.08</v>
      </c>
      <c r="E19">
        <v>-0.27177581119999999</v>
      </c>
      <c r="F19">
        <v>4</v>
      </c>
      <c r="G19">
        <v>0</v>
      </c>
      <c r="H19">
        <v>0</v>
      </c>
      <c r="I19">
        <v>1</v>
      </c>
    </row>
    <row r="20" spans="1:9" x14ac:dyDescent="0.25">
      <c r="A20" t="s">
        <v>20</v>
      </c>
      <c r="B20" s="9" t="s">
        <v>45</v>
      </c>
      <c r="C20">
        <v>-5.21</v>
      </c>
      <c r="D20">
        <v>0.15</v>
      </c>
      <c r="E20">
        <v>-2.9910332673000002</v>
      </c>
      <c r="F20">
        <v>3.1</v>
      </c>
      <c r="G20">
        <v>84093</v>
      </c>
      <c r="H20">
        <v>0</v>
      </c>
      <c r="I20">
        <v>1</v>
      </c>
    </row>
    <row r="21" spans="1:9" x14ac:dyDescent="0.25">
      <c r="A21" t="s">
        <v>21</v>
      </c>
      <c r="B21" s="9">
        <v>840734</v>
      </c>
      <c r="C21">
        <v>24.100100000000001</v>
      </c>
      <c r="D21">
        <v>14.52</v>
      </c>
      <c r="E21">
        <v>0.95045386929999998</v>
      </c>
      <c r="F21">
        <v>7.2</v>
      </c>
      <c r="G21">
        <v>125738</v>
      </c>
      <c r="H21">
        <v>1</v>
      </c>
      <c r="I21">
        <v>1</v>
      </c>
    </row>
    <row r="22" spans="1:9" x14ac:dyDescent="0.25">
      <c r="A22" t="s">
        <v>22</v>
      </c>
      <c r="B22" s="9">
        <v>740811</v>
      </c>
      <c r="C22">
        <v>8.2554999999999996</v>
      </c>
      <c r="D22">
        <v>4.3</v>
      </c>
      <c r="E22">
        <v>-0.2033442805</v>
      </c>
      <c r="F22">
        <v>6.5438999999999998</v>
      </c>
      <c r="G22">
        <v>391771</v>
      </c>
      <c r="H22">
        <v>0</v>
      </c>
      <c r="I22">
        <v>1</v>
      </c>
    </row>
    <row r="23" spans="1:9" x14ac:dyDescent="0.25">
      <c r="A23" t="s">
        <v>23</v>
      </c>
      <c r="B23" s="9">
        <v>300490</v>
      </c>
      <c r="C23">
        <v>5.2008999999999999</v>
      </c>
      <c r="D23">
        <v>0.75</v>
      </c>
      <c r="E23">
        <v>0.59756441969999996</v>
      </c>
      <c r="F23">
        <v>12.356780000000001</v>
      </c>
      <c r="G23">
        <v>294311</v>
      </c>
      <c r="H23">
        <v>1</v>
      </c>
      <c r="I23">
        <v>1</v>
      </c>
    </row>
    <row r="24" spans="1:9" x14ac:dyDescent="0.25">
      <c r="A24" t="s">
        <v>24</v>
      </c>
      <c r="B24" s="9">
        <v>170114</v>
      </c>
      <c r="C24">
        <v>0.1023</v>
      </c>
      <c r="D24">
        <v>0.4</v>
      </c>
      <c r="E24">
        <v>-2.4594281047000002</v>
      </c>
      <c r="F24">
        <v>2</v>
      </c>
      <c r="G24">
        <v>0</v>
      </c>
      <c r="H24">
        <v>0</v>
      </c>
      <c r="I24">
        <v>1</v>
      </c>
    </row>
    <row r="25" spans="1:9" x14ac:dyDescent="0.25">
      <c r="A25" t="s">
        <v>25</v>
      </c>
      <c r="B25" s="9" t="s">
        <v>43</v>
      </c>
      <c r="C25">
        <v>-3.5539999999999998</v>
      </c>
      <c r="D25">
        <v>0.9</v>
      </c>
      <c r="E25">
        <v>-0.66916205360000003</v>
      </c>
      <c r="F25">
        <v>3.2456</v>
      </c>
      <c r="G25">
        <v>199926</v>
      </c>
      <c r="H25">
        <v>0</v>
      </c>
      <c r="I25">
        <v>1</v>
      </c>
    </row>
    <row r="26" spans="1:9" x14ac:dyDescent="0.25">
      <c r="A26" t="s">
        <v>26</v>
      </c>
      <c r="B26" s="9">
        <v>230400</v>
      </c>
      <c r="C26">
        <v>1.2410000000000001</v>
      </c>
      <c r="D26">
        <v>0.3</v>
      </c>
      <c r="E26">
        <v>-0.58758333409999997</v>
      </c>
      <c r="F26">
        <v>5.1222000000000003</v>
      </c>
      <c r="G26">
        <v>220153</v>
      </c>
      <c r="H26">
        <v>0</v>
      </c>
      <c r="I26">
        <v>1</v>
      </c>
    </row>
    <row r="27" spans="1:9" x14ac:dyDescent="0.25">
      <c r="A27" t="s">
        <v>27</v>
      </c>
      <c r="B27" s="9">
        <v>854420</v>
      </c>
      <c r="C27">
        <v>19.5</v>
      </c>
      <c r="D27">
        <v>22.51</v>
      </c>
      <c r="E27">
        <v>-0.67617468780000001</v>
      </c>
      <c r="F27">
        <v>8.1</v>
      </c>
      <c r="G27">
        <v>12563</v>
      </c>
      <c r="H27">
        <v>1</v>
      </c>
      <c r="I27">
        <v>1</v>
      </c>
    </row>
    <row r="28" spans="1:9" x14ac:dyDescent="0.25">
      <c r="A28" t="s">
        <v>28</v>
      </c>
      <c r="B28" s="9">
        <v>151219</v>
      </c>
      <c r="C28">
        <v>-10.323219999999999</v>
      </c>
      <c r="D28">
        <v>0.12</v>
      </c>
      <c r="E28">
        <v>-0.628359954</v>
      </c>
      <c r="F28">
        <v>6.3000999999999996</v>
      </c>
      <c r="G28">
        <v>5704</v>
      </c>
      <c r="H28">
        <v>0</v>
      </c>
      <c r="I28">
        <v>1</v>
      </c>
    </row>
    <row r="29" spans="1:9" x14ac:dyDescent="0.25">
      <c r="A29" t="s">
        <v>29</v>
      </c>
      <c r="B29" s="9">
        <v>230630</v>
      </c>
      <c r="C29">
        <v>1.5199419999999999</v>
      </c>
      <c r="D29">
        <v>0.45319999999999999</v>
      </c>
      <c r="E29">
        <v>-0.62627902980000005</v>
      </c>
      <c r="F29">
        <v>5.2310999999999996</v>
      </c>
      <c r="G29">
        <v>77159</v>
      </c>
      <c r="H29">
        <v>0</v>
      </c>
      <c r="I29">
        <v>1</v>
      </c>
    </row>
    <row r="30" spans="1:9" x14ac:dyDescent="0.25">
      <c r="A30" t="s">
        <v>30</v>
      </c>
      <c r="B30" s="9">
        <v>151620</v>
      </c>
      <c r="C30">
        <v>25.632991000000001</v>
      </c>
      <c r="D30">
        <v>3.1244999999999998</v>
      </c>
      <c r="E30">
        <v>-0.92672472269999995</v>
      </c>
      <c r="F30">
        <v>9.8765000000000001</v>
      </c>
      <c r="G30">
        <v>44659</v>
      </c>
      <c r="H30">
        <v>1</v>
      </c>
      <c r="I30">
        <v>1</v>
      </c>
    </row>
    <row r="31" spans="1:9" x14ac:dyDescent="0.25">
      <c r="A31" t="s">
        <v>31</v>
      </c>
      <c r="B31" s="9">
        <v>950300</v>
      </c>
      <c r="C31">
        <v>2.1394500000000001</v>
      </c>
      <c r="D31">
        <v>5.67E-2</v>
      </c>
      <c r="E31">
        <v>-0.57320720629999999</v>
      </c>
      <c r="F31">
        <v>11.543200000000001</v>
      </c>
      <c r="G31">
        <v>0</v>
      </c>
      <c r="H31">
        <v>0</v>
      </c>
      <c r="I31">
        <v>1</v>
      </c>
    </row>
    <row r="32" spans="1:9" x14ac:dyDescent="0.25">
      <c r="A32" t="s">
        <v>32</v>
      </c>
      <c r="B32" s="9">
        <v>230910</v>
      </c>
      <c r="C32">
        <v>18.780650000000001</v>
      </c>
      <c r="D32">
        <v>0.89119999999999999</v>
      </c>
      <c r="E32">
        <v>0.35005743880000001</v>
      </c>
      <c r="F32">
        <v>14.2134</v>
      </c>
      <c r="G32">
        <v>6087</v>
      </c>
      <c r="H32">
        <v>1</v>
      </c>
      <c r="I32">
        <v>1</v>
      </c>
    </row>
    <row r="33" spans="1:9" x14ac:dyDescent="0.25">
      <c r="A33" t="s">
        <v>33</v>
      </c>
      <c r="B33" s="9">
        <v>270119</v>
      </c>
      <c r="C33">
        <v>-12.432198</v>
      </c>
      <c r="D33">
        <v>0.1134</v>
      </c>
      <c r="E33">
        <v>-1.4210272880999999</v>
      </c>
      <c r="F33">
        <v>2.12</v>
      </c>
      <c r="G33">
        <v>584179</v>
      </c>
      <c r="H33">
        <v>0</v>
      </c>
      <c r="I33">
        <v>1</v>
      </c>
    </row>
    <row r="34" spans="1:9" x14ac:dyDescent="0.25">
      <c r="A34" t="s">
        <v>18</v>
      </c>
      <c r="B34" s="9">
        <v>100590</v>
      </c>
      <c r="C34">
        <v>-9.8765000000000001</v>
      </c>
      <c r="D34">
        <v>2.3400000000000001E-2</v>
      </c>
      <c r="E34">
        <v>-0.85263891420000004</v>
      </c>
      <c r="F34">
        <v>3.1234000000000002</v>
      </c>
      <c r="G34">
        <v>498741</v>
      </c>
      <c r="H34">
        <v>0</v>
      </c>
      <c r="I34">
        <v>1</v>
      </c>
    </row>
    <row r="35" spans="1:9" x14ac:dyDescent="0.25">
      <c r="A35" t="s">
        <v>34</v>
      </c>
      <c r="B35" s="9">
        <v>520939</v>
      </c>
      <c r="C35">
        <v>-8.2134</v>
      </c>
      <c r="D35">
        <v>6.5431999999999997</v>
      </c>
      <c r="E35">
        <v>-1.6493656066</v>
      </c>
      <c r="F35">
        <v>3.8765000000000001</v>
      </c>
      <c r="G35">
        <v>31011</v>
      </c>
      <c r="H35">
        <v>0</v>
      </c>
      <c r="I35">
        <v>1</v>
      </c>
    </row>
    <row r="36" spans="1:9" x14ac:dyDescent="0.25">
      <c r="A36" t="s">
        <v>35</v>
      </c>
      <c r="B36" s="9">
        <v>630900</v>
      </c>
      <c r="C36">
        <v>2.7865120000000001</v>
      </c>
      <c r="D36">
        <v>8.9876000000000005</v>
      </c>
      <c r="E36">
        <v>-0.34670212890000002</v>
      </c>
      <c r="F36">
        <v>1.4532</v>
      </c>
      <c r="G36">
        <v>9323</v>
      </c>
      <c r="H36">
        <v>0</v>
      </c>
      <c r="I36">
        <v>1</v>
      </c>
    </row>
    <row r="37" spans="1:9" x14ac:dyDescent="0.25">
      <c r="A37" t="s">
        <v>36</v>
      </c>
      <c r="B37" s="9">
        <v>230630</v>
      </c>
      <c r="C37">
        <v>1.6543000000000001</v>
      </c>
      <c r="D37">
        <v>0.54320000000000002</v>
      </c>
      <c r="E37">
        <v>-0.62627902980000005</v>
      </c>
      <c r="F37">
        <v>5.21</v>
      </c>
      <c r="G37">
        <v>77159</v>
      </c>
      <c r="H37">
        <v>0</v>
      </c>
      <c r="I37">
        <v>1</v>
      </c>
    </row>
    <row r="38" spans="1:9" x14ac:dyDescent="0.25">
      <c r="A38" t="s">
        <v>37</v>
      </c>
      <c r="B38" s="9">
        <v>330499</v>
      </c>
      <c r="C38">
        <v>11.234500000000001</v>
      </c>
      <c r="D38">
        <v>1.1234</v>
      </c>
      <c r="E38">
        <v>0.19931221839999999</v>
      </c>
      <c r="F38">
        <v>9.8765000000000001</v>
      </c>
      <c r="G38">
        <v>62471</v>
      </c>
      <c r="H38">
        <v>1</v>
      </c>
      <c r="I38">
        <v>1</v>
      </c>
    </row>
    <row r="39" spans="1:9" x14ac:dyDescent="0.25">
      <c r="A39" t="s">
        <v>38</v>
      </c>
      <c r="B39" s="9">
        <v>903289</v>
      </c>
      <c r="C39">
        <v>15.4231</v>
      </c>
      <c r="D39">
        <v>1.8543000000000001</v>
      </c>
      <c r="E39">
        <v>1.0860968550000001</v>
      </c>
      <c r="F39">
        <v>9.7653999999999996</v>
      </c>
      <c r="G39">
        <v>12673</v>
      </c>
      <c r="H39">
        <v>1</v>
      </c>
      <c r="I39">
        <v>1</v>
      </c>
    </row>
    <row r="40" spans="1:9" x14ac:dyDescent="0.25">
      <c r="A40" t="s">
        <v>39</v>
      </c>
      <c r="B40" s="9">
        <v>901890</v>
      </c>
      <c r="C40">
        <v>9.8765000000000001</v>
      </c>
      <c r="D40">
        <v>0.96543000000000001</v>
      </c>
      <c r="E40">
        <v>0.56955972759999995</v>
      </c>
      <c r="F40">
        <v>10.2134</v>
      </c>
      <c r="G40">
        <v>50587</v>
      </c>
      <c r="H40">
        <v>1</v>
      </c>
      <c r="I40">
        <v>1</v>
      </c>
    </row>
    <row r="41" spans="1:9" x14ac:dyDescent="0.25">
      <c r="A41" s="6" t="s">
        <v>42</v>
      </c>
      <c r="B41" s="10" t="s">
        <v>44</v>
      </c>
      <c r="C41">
        <v>-0.86773400000000001</v>
      </c>
      <c r="D41">
        <v>1.7899400000000001</v>
      </c>
      <c r="E41">
        <v>-1.0417979589999999</v>
      </c>
      <c r="F41">
        <v>3.3245900000000002</v>
      </c>
      <c r="G41" s="8">
        <v>481422</v>
      </c>
      <c r="H41">
        <v>1</v>
      </c>
      <c r="I41" s="7">
        <v>1</v>
      </c>
    </row>
    <row r="42" spans="1:9" x14ac:dyDescent="0.25">
      <c r="A42" s="11" t="s">
        <v>47</v>
      </c>
      <c r="B42" s="9" t="s">
        <v>48</v>
      </c>
      <c r="C42">
        <v>0.60567402012953919</v>
      </c>
      <c r="D42">
        <v>8.8918092334407575E-2</v>
      </c>
      <c r="E42">
        <v>-0.42882879509999999</v>
      </c>
      <c r="F42">
        <v>5.6498678110550093E-2</v>
      </c>
      <c r="G42" s="11">
        <v>113</v>
      </c>
      <c r="H42">
        <v>0</v>
      </c>
      <c r="I42">
        <v>0</v>
      </c>
    </row>
    <row r="43" spans="1:9" x14ac:dyDescent="0.25">
      <c r="A43" s="11" t="s">
        <v>60</v>
      </c>
      <c r="B43" s="9" t="s">
        <v>61</v>
      </c>
      <c r="C43">
        <v>0</v>
      </c>
      <c r="D43">
        <v>0</v>
      </c>
      <c r="E43">
        <v>0.60308467789999998</v>
      </c>
      <c r="F43">
        <f>(F37/F38)^(1/4)-1</f>
        <v>-0.14776637803458681</v>
      </c>
      <c r="G43">
        <v>0</v>
      </c>
      <c r="H43">
        <v>1</v>
      </c>
      <c r="I43">
        <v>0</v>
      </c>
    </row>
    <row r="44" spans="1:9" x14ac:dyDescent="0.25">
      <c r="A44" s="11" t="s">
        <v>62</v>
      </c>
      <c r="B44">
        <v>300210</v>
      </c>
      <c r="C44">
        <v>1.0367644964517817</v>
      </c>
      <c r="D44">
        <v>6.977695106634073E-3</v>
      </c>
      <c r="E44">
        <v>1.0415275011</v>
      </c>
      <c r="F44">
        <v>0.14110194376289886</v>
      </c>
      <c r="G44" s="11">
        <v>740</v>
      </c>
      <c r="H44">
        <v>1</v>
      </c>
      <c r="I44">
        <v>0</v>
      </c>
    </row>
    <row r="45" spans="1:9" x14ac:dyDescent="0.25">
      <c r="A45" s="11" t="s">
        <v>63</v>
      </c>
      <c r="B45" s="9" t="s">
        <v>64</v>
      </c>
      <c r="C45">
        <v>-1</v>
      </c>
      <c r="D45">
        <v>0</v>
      </c>
      <c r="E45">
        <v>0.31709582819999999</v>
      </c>
      <c r="F45">
        <v>3.5602451398659696E-3</v>
      </c>
      <c r="G45">
        <v>0</v>
      </c>
      <c r="H45">
        <v>0</v>
      </c>
      <c r="I45">
        <v>0</v>
      </c>
    </row>
    <row r="46" spans="1:9" x14ac:dyDescent="0.25">
      <c r="A46" s="11" t="s">
        <v>65</v>
      </c>
      <c r="B46" s="9" t="s">
        <v>66</v>
      </c>
      <c r="C46">
        <v>0</v>
      </c>
      <c r="D46">
        <v>0</v>
      </c>
      <c r="E46">
        <v>0.35543483580000002</v>
      </c>
      <c r="F46">
        <v>-0.12884226723779557</v>
      </c>
      <c r="G46">
        <v>0</v>
      </c>
      <c r="H46">
        <v>1</v>
      </c>
      <c r="I46">
        <v>0</v>
      </c>
    </row>
    <row r="47" spans="1:9" x14ac:dyDescent="0.25">
      <c r="A47" s="11" t="s">
        <v>68</v>
      </c>
      <c r="B47" s="9" t="s">
        <v>67</v>
      </c>
      <c r="C47">
        <v>3.1</v>
      </c>
      <c r="D47">
        <v>0</v>
      </c>
      <c r="E47">
        <v>7.8045049199999994E-2</v>
      </c>
      <c r="F47">
        <v>3.5373999999999999</v>
      </c>
      <c r="G47">
        <v>0</v>
      </c>
      <c r="H47">
        <v>0</v>
      </c>
      <c r="I47">
        <v>1</v>
      </c>
    </row>
    <row r="48" spans="1:9" x14ac:dyDescent="0.25">
      <c r="A48" s="11" t="s">
        <v>9</v>
      </c>
      <c r="B48" s="9" t="s">
        <v>69</v>
      </c>
      <c r="C48">
        <v>5.2780199999999997</v>
      </c>
      <c r="D48">
        <v>2.8</v>
      </c>
      <c r="E48">
        <v>-1.4130282628999999</v>
      </c>
      <c r="F48">
        <v>4.1501200000000003</v>
      </c>
      <c r="G48">
        <v>105</v>
      </c>
      <c r="H48">
        <v>1</v>
      </c>
      <c r="I48">
        <v>1</v>
      </c>
    </row>
    <row r="49" spans="1:9" ht="30" x14ac:dyDescent="0.25">
      <c r="A49" s="11" t="s">
        <v>70</v>
      </c>
      <c r="B49" s="18" t="s">
        <v>71</v>
      </c>
      <c r="C49">
        <v>-4.5</v>
      </c>
      <c r="D49">
        <v>0.85</v>
      </c>
      <c r="E49">
        <v>0.37841604169999998</v>
      </c>
      <c r="F49">
        <v>5.5</v>
      </c>
      <c r="G49">
        <v>37</v>
      </c>
      <c r="H49">
        <v>1</v>
      </c>
      <c r="I49">
        <v>0</v>
      </c>
    </row>
    <row r="50" spans="1:9" x14ac:dyDescent="0.25">
      <c r="A50" s="11" t="s">
        <v>73</v>
      </c>
      <c r="B50" s="9" t="s">
        <v>72</v>
      </c>
      <c r="C50">
        <v>-1.2</v>
      </c>
      <c r="D50">
        <v>0.6</v>
      </c>
      <c r="E50">
        <v>0.1049025146</v>
      </c>
      <c r="F50">
        <v>2.9888300000000001</v>
      </c>
      <c r="G50" s="8">
        <v>136707</v>
      </c>
      <c r="H50">
        <v>1</v>
      </c>
      <c r="I50">
        <v>0</v>
      </c>
    </row>
    <row r="51" spans="1:9" x14ac:dyDescent="0.25">
      <c r="A51" s="11" t="s">
        <v>74</v>
      </c>
      <c r="B51" s="9" t="s">
        <v>75</v>
      </c>
      <c r="C51" s="13">
        <f>-2.8</f>
        <v>-2.8</v>
      </c>
      <c r="D51">
        <v>0.55000000000000004</v>
      </c>
      <c r="E51">
        <v>-0.4249313629</v>
      </c>
      <c r="F51">
        <v>3.5107789999999999</v>
      </c>
      <c r="G51" s="8">
        <v>136707</v>
      </c>
      <c r="H51">
        <v>1</v>
      </c>
      <c r="I51">
        <v>0</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F11" sqref="F11"/>
    </sheetView>
  </sheetViews>
  <sheetFormatPr baseColWidth="10" defaultRowHeight="15" x14ac:dyDescent="0.25"/>
  <cols>
    <col min="1" max="1" width="14.5703125" bestFit="1" customWidth="1"/>
    <col min="2" max="2" width="15.42578125" customWidth="1"/>
  </cols>
  <sheetData>
    <row r="1" spans="1:7" x14ac:dyDescent="0.25">
      <c r="A1" t="s">
        <v>49</v>
      </c>
      <c r="B1" s="11">
        <v>113</v>
      </c>
      <c r="C1">
        <v>0</v>
      </c>
      <c r="D1" s="11">
        <v>740</v>
      </c>
      <c r="E1">
        <v>0</v>
      </c>
      <c r="F1" s="11">
        <v>0</v>
      </c>
    </row>
    <row r="2" spans="1:7" x14ac:dyDescent="0.25">
      <c r="A2" t="s">
        <v>50</v>
      </c>
      <c r="B2">
        <v>17</v>
      </c>
      <c r="C2">
        <v>0</v>
      </c>
      <c r="D2" s="11">
        <v>43</v>
      </c>
      <c r="E2">
        <v>1</v>
      </c>
      <c r="F2">
        <v>0</v>
      </c>
    </row>
    <row r="3" spans="1:7" x14ac:dyDescent="0.25">
      <c r="A3" t="s">
        <v>51</v>
      </c>
      <c r="B3" s="12">
        <v>1004686</v>
      </c>
      <c r="C3" s="12">
        <v>1545979</v>
      </c>
      <c r="D3" s="12">
        <v>83842028</v>
      </c>
      <c r="E3" s="12">
        <v>935253</v>
      </c>
      <c r="F3" s="12">
        <v>3917052</v>
      </c>
    </row>
    <row r="4" spans="1:7" x14ac:dyDescent="0.25">
      <c r="A4" t="s">
        <v>52</v>
      </c>
      <c r="B4" s="12">
        <v>860663</v>
      </c>
      <c r="C4" s="12">
        <v>1470639</v>
      </c>
      <c r="D4" s="17">
        <v>53764033</v>
      </c>
      <c r="E4" s="12">
        <v>898850</v>
      </c>
      <c r="F4" s="12">
        <v>3592118</v>
      </c>
    </row>
    <row r="5" spans="1:7" x14ac:dyDescent="0.25">
      <c r="A5" t="s">
        <v>53</v>
      </c>
      <c r="B5" s="12">
        <v>1386125</v>
      </c>
      <c r="C5" s="16">
        <v>1749825</v>
      </c>
      <c r="D5" s="12">
        <v>83013907</v>
      </c>
      <c r="E5" s="12">
        <v>1162016</v>
      </c>
      <c r="F5" s="16">
        <v>1476312</v>
      </c>
      <c r="G5" s="16"/>
    </row>
    <row r="6" spans="1:7" x14ac:dyDescent="0.25">
      <c r="A6" t="s">
        <v>54</v>
      </c>
      <c r="B6" s="12">
        <v>1112568</v>
      </c>
      <c r="C6" s="12">
        <v>1401589</v>
      </c>
      <c r="D6" s="12">
        <v>48961315</v>
      </c>
      <c r="E6" s="12">
        <v>1145614</v>
      </c>
      <c r="F6" s="12">
        <v>2563250</v>
      </c>
    </row>
    <row r="7" spans="1:7" ht="30" x14ac:dyDescent="0.25">
      <c r="A7" s="13" t="s">
        <v>57</v>
      </c>
      <c r="B7" s="14">
        <v>23815816</v>
      </c>
    </row>
    <row r="8" spans="1:7" ht="30" x14ac:dyDescent="0.25">
      <c r="A8" s="13" t="s">
        <v>58</v>
      </c>
      <c r="B8" s="15">
        <v>18828143951</v>
      </c>
    </row>
    <row r="9" spans="1:7" x14ac:dyDescent="0.25">
      <c r="A9" s="13" t="s">
        <v>55</v>
      </c>
      <c r="B9" s="14">
        <f>(B1/$B$7)/(B3/$B$8)</f>
        <v>8.8918092334407575E-2</v>
      </c>
      <c r="C9" s="14">
        <f>(C1/$B$7)/(C3/$B$8)</f>
        <v>0</v>
      </c>
      <c r="D9" s="14">
        <f>(D1/$B$7)/(D3/$B$8)</f>
        <v>6.977695106634073E-3</v>
      </c>
      <c r="E9" s="14">
        <f>(E1/$B$7)/(E3/$B$8)</f>
        <v>0</v>
      </c>
      <c r="F9" s="14">
        <f>(F1/$B$7)/(F3/$B$8)</f>
        <v>0</v>
      </c>
    </row>
    <row r="10" spans="1:7" x14ac:dyDescent="0.25">
      <c r="A10" t="s">
        <v>59</v>
      </c>
      <c r="B10">
        <f>(B1/B2)^(1/4)-1</f>
        <v>0.60567402012953919</v>
      </c>
      <c r="C10" t="e">
        <f>(C1/C2)^(1/4)-1</f>
        <v>#DIV/0!</v>
      </c>
      <c r="D10">
        <f>(D1/D2)^(1/4)-1</f>
        <v>1.0367644964517817</v>
      </c>
      <c r="E10">
        <f>(E1/E2)^(1/4)-1</f>
        <v>-1</v>
      </c>
      <c r="F10" t="e">
        <f>(F1/F2)^(1/4)-1</f>
        <v>#DIV/0!</v>
      </c>
    </row>
    <row r="11" spans="1:7" x14ac:dyDescent="0.25">
      <c r="A11" t="s">
        <v>56</v>
      </c>
      <c r="B11">
        <f>(B5/B6)^(1/4)-1</f>
        <v>5.6498678110550093E-2</v>
      </c>
      <c r="C11">
        <f>(C5/C6)^(1/4)-1</f>
        <v>5.7045019219458259E-2</v>
      </c>
      <c r="D11">
        <f>(D5/D6)^(1/4)-1</f>
        <v>0.14110194376289886</v>
      </c>
      <c r="E11">
        <f>(E5/E6)^(1/4)-1</f>
        <v>3.5602451398659696E-3</v>
      </c>
      <c r="F11">
        <f>(F5/F6)^(1/4)-1</f>
        <v>-0.12884226723779557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NetBnicolage</cp:lastModifiedBy>
  <dcterms:created xsi:type="dcterms:W3CDTF">2025-11-28T10:02:16Z</dcterms:created>
  <dcterms:modified xsi:type="dcterms:W3CDTF">2025-12-03T15:48:25Z</dcterms:modified>
</cp:coreProperties>
</file>